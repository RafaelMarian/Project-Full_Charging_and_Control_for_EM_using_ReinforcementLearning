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Disertatie\Documente Master\"/>
    </mc:Choice>
  </mc:AlternateContent>
  <xr:revisionPtr revIDLastSave="0" documentId="13_ncr:1_{B76EA8F3-2F7F-483F-BAC5-BCE529F0BE26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Fise verificare" sheetId="1" r:id="rId1"/>
  </sheets>
  <definedNames>
    <definedName name="limba">'Fise verificare'!$O$6:$O$8</definedName>
    <definedName name="Master">'Fise verificare'!$M$7:$M$12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3" i="1"/>
  <c r="F16" i="1"/>
  <c r="F42" i="1"/>
  <c r="B42" i="1"/>
  <c r="D20" i="1"/>
  <c r="F24" i="1"/>
  <c r="F23" i="1"/>
  <c r="D21" i="1"/>
  <c r="D22" i="1"/>
  <c r="D19" i="1"/>
  <c r="D26" i="1" l="1"/>
  <c r="N20" i="1" s="1"/>
  <c r="D16" i="1"/>
  <c r="P22" i="1" l="1"/>
  <c r="F26" i="1"/>
  <c r="N19" i="1"/>
  <c r="O21" i="1"/>
  <c r="P20" i="1"/>
  <c r="H20" i="1" s="1"/>
  <c r="Q21" i="1"/>
  <c r="O19" i="1"/>
  <c r="Q19" i="1"/>
  <c r="N22" i="1"/>
  <c r="P19" i="1"/>
  <c r="H19" i="1" s="1"/>
  <c r="O20" i="1"/>
  <c r="P21" i="1"/>
  <c r="Q20" i="1"/>
  <c r="N21" i="1"/>
  <c r="O22" i="1"/>
  <c r="H22" i="1" s="1"/>
  <c r="Q22" i="1"/>
  <c r="F21" i="1" l="1"/>
  <c r="H21" i="1"/>
  <c r="F22" i="1"/>
  <c r="F20" i="1"/>
  <c r="F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Gbr</author>
    <author>GO</author>
  </authors>
  <commentList>
    <comment ref="C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Editează numele studentului în format Prenume NUME (Ex. Ion IONESCU)</t>
        </r>
      </text>
    </comment>
    <comment ref="C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Alege din lista derulantă</t>
        </r>
      </text>
    </comment>
    <comment ref="C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Editează titlul lucrării</t>
        </r>
      </text>
    </comment>
    <comment ref="C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Editează numele conducătorului - Funcție, titlu, Prenume NUME (Ex. Prof.dr.ing. Ion IONESCU)</t>
        </r>
      </text>
    </comment>
    <comment ref="D13" authorId="1" shapeId="0" xr:uid="{00000000-0006-0000-0000-000005000000}">
      <text>
        <r>
          <rPr>
            <sz val="9"/>
            <color indexed="81"/>
            <rFont val="Tahoma"/>
            <family val="2"/>
          </rPr>
          <t>Selectează din listă limba în care a fost redactată lucrarea</t>
        </r>
      </text>
    </comment>
    <comment ref="C16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Selecteaza din listă limba în care a fost redactat rezumatul</t>
        </r>
      </text>
    </comment>
    <comment ref="E16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Editează numărul de pagini al rezumatului</t>
        </r>
      </text>
    </comment>
    <comment ref="C18" authorId="0" shapeId="0" xr:uid="{992159AF-9CBD-49EE-9128-0465C01CA9F7}">
      <text>
        <r>
          <rPr>
            <sz val="9"/>
            <color indexed="81"/>
            <rFont val="Tahoma"/>
            <family val="2"/>
          </rPr>
          <t>Se completează cu numărul (cifre arabe) paginii de început a capitolului, conform numerotării paginilor în lucrare.</t>
        </r>
      </text>
    </comment>
    <comment ref="D18" authorId="0" shapeId="0" xr:uid="{E5825F84-1503-45A8-A680-D7AEA2ACEED9}">
      <text>
        <r>
          <rPr>
            <sz val="9"/>
            <color indexed="81"/>
            <rFont val="Tahoma"/>
            <family val="2"/>
          </rPr>
          <t xml:space="preserve">Se calculează automat
</t>
        </r>
      </text>
    </comment>
    <comment ref="F18" authorId="0" shapeId="0" xr:uid="{D27FA6A7-29F3-4D22-BBC4-3553A44BB0C9}">
      <text>
        <r>
          <rPr>
            <sz val="9"/>
            <color indexed="81"/>
            <rFont val="Tahoma"/>
            <family val="2"/>
          </rPr>
          <t>Se calculează automat</t>
        </r>
      </text>
    </comment>
    <comment ref="F28" authorId="0" shapeId="0" xr:uid="{5899ACDA-C3E0-4877-B770-1B2813CCB847}">
      <text>
        <r>
          <rPr>
            <sz val="9"/>
            <color indexed="81"/>
            <rFont val="Tahoma"/>
            <family val="2"/>
          </rPr>
          <t>Conducătorul bifează căsuța corespunzătoare</t>
        </r>
      </text>
    </comment>
    <comment ref="G28" authorId="0" shapeId="0" xr:uid="{CBD0B672-C857-448B-BDF7-BA71C1EF0112}">
      <text>
        <r>
          <rPr>
            <sz val="9"/>
            <color indexed="81"/>
            <rFont val="Tahoma"/>
            <family val="2"/>
          </rPr>
          <t>Conducătorul bifează căsuța corespunzătoare</t>
        </r>
      </text>
    </comment>
    <comment ref="B40" authorId="0" shapeId="0" xr:uid="{F2197346-89A5-4C97-A4E1-85CC9C3A5339}">
      <text>
        <r>
          <rPr>
            <b/>
            <sz val="9"/>
            <color indexed="81"/>
            <rFont val="Tahoma"/>
            <family val="2"/>
          </rPr>
          <t>Se semnează după listare</t>
        </r>
      </text>
    </comment>
    <comment ref="F40" authorId="1" shapeId="0" xr:uid="{3B555310-3888-4C20-8388-0043537DF396}">
      <text>
        <r>
          <rPr>
            <b/>
            <sz val="9"/>
            <color indexed="81"/>
            <rFont val="Tahoma"/>
            <family val="2"/>
          </rPr>
          <t>Se semnează după listare</t>
        </r>
      </text>
    </comment>
  </commentList>
</comments>
</file>

<file path=xl/sharedStrings.xml><?xml version="1.0" encoding="utf-8"?>
<sst xmlns="http://schemas.openxmlformats.org/spreadsheetml/2006/main" count="68" uniqueCount="63">
  <si>
    <t>Stadiul actual</t>
  </si>
  <si>
    <t>Rezultate experimentale</t>
  </si>
  <si>
    <t>Concluzii</t>
  </si>
  <si>
    <t>Bibliografie</t>
  </si>
  <si>
    <t>Da</t>
  </si>
  <si>
    <t>Nu</t>
  </si>
  <si>
    <t xml:space="preserve">Student:  </t>
  </si>
  <si>
    <t xml:space="preserve">Tip studii:  </t>
  </si>
  <si>
    <t xml:space="preserve">Specializarea:  </t>
  </si>
  <si>
    <t>min</t>
  </si>
  <si>
    <t>max</t>
  </si>
  <si>
    <t>DA</t>
  </si>
  <si>
    <t>NU</t>
  </si>
  <si>
    <t>Student,</t>
  </si>
  <si>
    <t>Fișa de verificare a lucrării de finalizare a studiilor</t>
  </si>
  <si>
    <t>Rezumat lucrare</t>
  </si>
  <si>
    <t>Limba</t>
  </si>
  <si>
    <t>min-pag</t>
  </si>
  <si>
    <t>max-pag</t>
  </si>
  <si>
    <t>max 10%</t>
  </si>
  <si>
    <t>min 10%</t>
  </si>
  <si>
    <t>5 - 8 pag.</t>
  </si>
  <si>
    <t>Master</t>
  </si>
  <si>
    <t>CSI</t>
  </si>
  <si>
    <t>IE</t>
  </si>
  <si>
    <t>TC</t>
  </si>
  <si>
    <t>TM</t>
  </si>
  <si>
    <t>SICAS</t>
  </si>
  <si>
    <t>PSI</t>
  </si>
  <si>
    <t>min 50 pag.</t>
  </si>
  <si>
    <t>max 40%</t>
  </si>
  <si>
    <t>20%  -  40%</t>
  </si>
  <si>
    <t>TSAeA</t>
  </si>
  <si>
    <t xml:space="preserve">Titlul lucrării:  </t>
  </si>
  <si>
    <t>Conducător:</t>
  </si>
  <si>
    <t>Lucrarea este redactată în limba</t>
  </si>
  <si>
    <t>Respectă cerința</t>
  </si>
  <si>
    <t>Număr de pagini</t>
  </si>
  <si>
    <t>Cerințe</t>
  </si>
  <si>
    <t>Structură lucrare</t>
  </si>
  <si>
    <t>Număr pagină de început conform cuprinsului</t>
  </si>
  <si>
    <t>Număr calculat de pagini</t>
  </si>
  <si>
    <t>Respectă cerințele</t>
  </si>
  <si>
    <t>Fundamentare teoretică</t>
  </si>
  <si>
    <t>Implementarea soluției adoptate</t>
  </si>
  <si>
    <t>Număr pagini de conținut</t>
  </si>
  <si>
    <t>Parțial</t>
  </si>
  <si>
    <t>Lucrarea realizată constă în studiul, dezvoltarea, implementarea, testarea unei aplicații specifice specializării absolvite de student.</t>
  </si>
  <si>
    <t>Contributiile autorului în ceea ce privește fundamentarea teoretică, implementarea soluției/soluțiilor adoptate și a rezultatelor obținute rezultă cu claritate din lucrarea elaborată.</t>
  </si>
  <si>
    <t>Limbajul folosit este concis, tehnic, reflectând capacitatea studentului de a folosi vocabularul de specialitate.</t>
  </si>
  <si>
    <t>Pasajele preluate din bibliografie sunt însoțite de referință bibliografică, specificată clar între paranteze drepte.</t>
  </si>
  <si>
    <t>Partea comună între lucrări cu aceeași temă nu depășeste mai mult de 5% din conținut  (dacă este cazul).</t>
  </si>
  <si>
    <r>
      <t>Nota propusă de către conducător (</t>
    </r>
    <r>
      <rPr>
        <i/>
        <sz val="11"/>
        <color indexed="8"/>
        <rFont val="Calibri"/>
        <family val="2"/>
      </rPr>
      <t>opțional)</t>
    </r>
    <r>
      <rPr>
        <sz val="11"/>
        <color theme="1"/>
        <rFont val="Calibri"/>
        <family val="2"/>
        <scheme val="minor"/>
      </rPr>
      <t xml:space="preserve">: </t>
    </r>
  </si>
  <si>
    <t>Avizul conducătorului:</t>
  </si>
  <si>
    <t>Conducător,</t>
  </si>
  <si>
    <t>română</t>
  </si>
  <si>
    <t>engleză</t>
  </si>
  <si>
    <t>franceză</t>
  </si>
  <si>
    <t>Conținut lucrare</t>
  </si>
  <si>
    <r>
      <t>Propun</t>
    </r>
    <r>
      <rPr>
        <b/>
        <sz val="11"/>
        <color theme="1"/>
        <rFont val="Calibri"/>
        <family val="2"/>
        <scheme val="minor"/>
      </rPr>
      <t xml:space="preserve"> admiterea/respingerea</t>
    </r>
    <r>
      <rPr>
        <sz val="11"/>
        <color theme="1"/>
        <rFont val="Calibri"/>
        <family val="2"/>
        <scheme val="minor"/>
      </rPr>
      <t xml:space="preserve"> lucrării în vederea susținerii.</t>
    </r>
  </si>
  <si>
    <t>Rafael Marian VANCA</t>
  </si>
  <si>
    <t>Gabor CSIPKES</t>
  </si>
  <si>
    <t>Control Inteligent pentru masinile electrice de mare performanta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</si>
</sst>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/>
    </xf>
    <xf numFmtId="0" fontId="4" fillId="0" borderId="0" xfId="0" applyFont="1" applyAlignment="1" applyProtection="1">
      <alignment horizontal="left"/>
      <protection locked="0"/>
    </xf>
    <xf numFmtId="0" fontId="0" fillId="0" borderId="1" xfId="0" applyBorder="1"/>
    <xf numFmtId="0" fontId="9" fillId="0" borderId="0" xfId="0" applyFont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4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justify" vertical="top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9525</xdr:rowOff>
    </xdr:from>
    <xdr:to>
      <xdr:col>7</xdr:col>
      <xdr:colOff>590550</xdr:colOff>
      <xdr:row>2</xdr:row>
      <xdr:rowOff>91440</xdr:rowOff>
    </xdr:to>
    <xdr:pic>
      <xdr:nvPicPr>
        <xdr:cNvPr id="1145" name="Picture 1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525"/>
          <a:ext cx="52101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R42"/>
  <sheetViews>
    <sheetView showGridLines="0" showZeros="0" tabSelected="1" topLeftCell="A18" zoomScale="115" zoomScaleNormal="115" workbookViewId="0">
      <selection activeCell="S18" sqref="S18"/>
    </sheetView>
  </sheetViews>
  <sheetFormatPr defaultRowHeight="14.4" x14ac:dyDescent="0.3"/>
  <cols>
    <col min="1" max="1" width="0.6640625" customWidth="1"/>
    <col min="2" max="2" width="21.88671875" customWidth="1"/>
    <col min="3" max="3" width="13.6640625" customWidth="1"/>
    <col min="4" max="4" width="8.44140625" customWidth="1"/>
    <col min="5" max="5" width="8.109375" customWidth="1"/>
    <col min="6" max="6" width="8.6640625" customWidth="1"/>
    <col min="7" max="7" width="8.88671875" customWidth="1"/>
    <col min="8" max="9" width="9.109375" customWidth="1"/>
    <col min="10" max="15" width="9.109375" hidden="1" customWidth="1"/>
    <col min="16" max="16" width="10" hidden="1" customWidth="1"/>
    <col min="17" max="21" width="9.109375" customWidth="1"/>
  </cols>
  <sheetData>
    <row r="4" spans="2:15" ht="18" x14ac:dyDescent="0.35">
      <c r="B4" s="40" t="s">
        <v>14</v>
      </c>
      <c r="C4" s="40"/>
      <c r="D4" s="40"/>
      <c r="E4" s="40"/>
      <c r="F4" s="40"/>
      <c r="G4" s="40"/>
      <c r="H4" s="40"/>
    </row>
    <row r="5" spans="2:15" ht="7.5" customHeight="1" x14ac:dyDescent="0.3"/>
    <row r="6" spans="2:15" x14ac:dyDescent="0.3">
      <c r="B6" s="3" t="s">
        <v>6</v>
      </c>
      <c r="C6" s="45" t="s">
        <v>60</v>
      </c>
      <c r="D6" s="45"/>
      <c r="E6" s="45"/>
      <c r="O6" t="s">
        <v>55</v>
      </c>
    </row>
    <row r="7" spans="2:15" x14ac:dyDescent="0.3">
      <c r="B7" s="3" t="s">
        <v>7</v>
      </c>
      <c r="C7" s="22" t="s">
        <v>22</v>
      </c>
      <c r="M7" s="2" t="s">
        <v>23</v>
      </c>
      <c r="O7" t="s">
        <v>56</v>
      </c>
    </row>
    <row r="8" spans="2:15" x14ac:dyDescent="0.3">
      <c r="B8" s="3" t="s">
        <v>8</v>
      </c>
      <c r="C8" s="28" t="s">
        <v>23</v>
      </c>
      <c r="M8" s="2" t="s">
        <v>24</v>
      </c>
      <c r="O8" t="s">
        <v>57</v>
      </c>
    </row>
    <row r="9" spans="2:15" x14ac:dyDescent="0.3">
      <c r="B9" s="3" t="s">
        <v>33</v>
      </c>
      <c r="C9" s="46" t="s">
        <v>62</v>
      </c>
      <c r="D9" s="46"/>
      <c r="E9" s="46"/>
      <c r="F9" s="46"/>
      <c r="G9" s="46"/>
      <c r="H9" s="46"/>
      <c r="M9" s="2" t="s">
        <v>25</v>
      </c>
    </row>
    <row r="10" spans="2:15" ht="36" customHeight="1" x14ac:dyDescent="0.3">
      <c r="C10" s="46"/>
      <c r="D10" s="46"/>
      <c r="E10" s="46"/>
      <c r="F10" s="46"/>
      <c r="G10" s="46"/>
      <c r="H10" s="46"/>
      <c r="M10" s="2" t="s">
        <v>26</v>
      </c>
    </row>
    <row r="11" spans="2:15" x14ac:dyDescent="0.3">
      <c r="B11" s="3" t="s">
        <v>34</v>
      </c>
      <c r="C11" s="45" t="s">
        <v>61</v>
      </c>
      <c r="D11" s="45"/>
      <c r="E11" s="45"/>
      <c r="M11" s="2" t="s">
        <v>27</v>
      </c>
    </row>
    <row r="12" spans="2:15" ht="12.75" customHeight="1" x14ac:dyDescent="0.3">
      <c r="B12" s="3"/>
      <c r="C12" s="15"/>
      <c r="D12" s="15"/>
      <c r="E12" s="15"/>
      <c r="M12" s="2" t="s">
        <v>28</v>
      </c>
    </row>
    <row r="13" spans="2:15" x14ac:dyDescent="0.3">
      <c r="B13" s="52" t="s">
        <v>35</v>
      </c>
      <c r="C13" s="52"/>
      <c r="D13" s="29" t="s">
        <v>55</v>
      </c>
      <c r="J13" s="2">
        <f>IF(OR(D13=O7,D13=O8),1,2)</f>
        <v>2</v>
      </c>
      <c r="M13" s="2" t="s">
        <v>32</v>
      </c>
    </row>
    <row r="14" spans="2:15" ht="10.5" customHeight="1" x14ac:dyDescent="0.3">
      <c r="B14" s="3"/>
      <c r="C14" s="3"/>
      <c r="M14" s="2"/>
    </row>
    <row r="15" spans="2:15" ht="27.6" x14ac:dyDescent="0.3">
      <c r="B15" s="53" t="s">
        <v>15</v>
      </c>
      <c r="C15" s="19" t="s">
        <v>16</v>
      </c>
      <c r="D15" s="18" t="s">
        <v>36</v>
      </c>
      <c r="E15" s="18" t="s">
        <v>37</v>
      </c>
      <c r="F15" s="18" t="s">
        <v>36</v>
      </c>
      <c r="G15" s="11" t="s">
        <v>38</v>
      </c>
      <c r="M15" s="2"/>
    </row>
    <row r="16" spans="2:15" x14ac:dyDescent="0.3">
      <c r="B16" s="54"/>
      <c r="C16" s="30" t="s">
        <v>56</v>
      </c>
      <c r="D16" s="7" t="str">
        <f>IF(J13=J16,J20,J19)</f>
        <v>DA</v>
      </c>
      <c r="E16" s="30">
        <v>8</v>
      </c>
      <c r="F16" s="21" t="str">
        <f>IF(AND(E16&gt;=L16,E16&lt;=M16),$J$19,$J$20)</f>
        <v>DA</v>
      </c>
      <c r="G16" s="20" t="s">
        <v>21</v>
      </c>
      <c r="J16" s="2">
        <f>IF(OR(C16=O7,C16=O8),1,2)</f>
        <v>1</v>
      </c>
      <c r="L16" s="2">
        <v>5</v>
      </c>
      <c r="M16" s="2">
        <v>8</v>
      </c>
    </row>
    <row r="17" spans="2:18" ht="10.5" customHeight="1" x14ac:dyDescent="0.3">
      <c r="G17" s="17"/>
    </row>
    <row r="18" spans="2:18" ht="39.75" customHeight="1" x14ac:dyDescent="0.3">
      <c r="B18" s="10" t="s">
        <v>39</v>
      </c>
      <c r="C18" s="11" t="s">
        <v>40</v>
      </c>
      <c r="D18" s="38" t="s">
        <v>41</v>
      </c>
      <c r="E18" s="39"/>
      <c r="F18" s="13" t="s">
        <v>42</v>
      </c>
      <c r="G18" s="49" t="s">
        <v>38</v>
      </c>
      <c r="H18" s="50"/>
      <c r="L18" s="2" t="s">
        <v>9</v>
      </c>
      <c r="M18" s="2" t="s">
        <v>10</v>
      </c>
      <c r="N18" s="2"/>
      <c r="O18" s="2" t="s">
        <v>17</v>
      </c>
      <c r="P18" s="2" t="s">
        <v>18</v>
      </c>
      <c r="Q18" s="2"/>
      <c r="R18" s="2"/>
    </row>
    <row r="19" spans="2:18" x14ac:dyDescent="0.3">
      <c r="B19" s="8" t="s">
        <v>0</v>
      </c>
      <c r="C19" s="31">
        <v>15</v>
      </c>
      <c r="D19" s="34">
        <f>C20-C19</f>
        <v>3</v>
      </c>
      <c r="E19" s="35"/>
      <c r="F19" s="21" t="str">
        <f>IF(AND(D19&gt;=O19,D19&lt;=P19),$J$19,$J$20)</f>
        <v>DA</v>
      </c>
      <c r="G19" s="27" t="s">
        <v>19</v>
      </c>
      <c r="H19" s="26" t="str">
        <f>"max "&amp;P19&amp;" pag."</f>
        <v>max 5 pag.</v>
      </c>
      <c r="J19" t="s">
        <v>11</v>
      </c>
      <c r="L19" s="6">
        <v>0.01</v>
      </c>
      <c r="M19" s="5">
        <v>0.1</v>
      </c>
      <c r="N19" s="23">
        <f>$D$26*L19</f>
        <v>0.5</v>
      </c>
      <c r="O19" s="23">
        <f>ROUNDDOWN($D$26*L19,0)</f>
        <v>0</v>
      </c>
      <c r="P19" s="2">
        <f>ROUNDUP($D$26*M19,0)</f>
        <v>5</v>
      </c>
      <c r="Q19" s="2">
        <f>$D$26*M19</f>
        <v>5</v>
      </c>
      <c r="R19" s="5"/>
    </row>
    <row r="20" spans="2:18" ht="18" customHeight="1" x14ac:dyDescent="0.3">
      <c r="B20" s="8" t="s">
        <v>43</v>
      </c>
      <c r="C20" s="31">
        <v>18</v>
      </c>
      <c r="D20" s="34">
        <f>C21-C20</f>
        <v>20</v>
      </c>
      <c r="E20" s="35"/>
      <c r="F20" s="21" t="str">
        <f>IF(AND(D20&gt;=O20,D20&lt;=P20),$J$19,$J$20)</f>
        <v>DA</v>
      </c>
      <c r="G20" s="27" t="s">
        <v>30</v>
      </c>
      <c r="H20" s="26" t="str">
        <f>"max "&amp;P20&amp;" pag."</f>
        <v>max 20 pag.</v>
      </c>
      <c r="J20" t="s">
        <v>12</v>
      </c>
      <c r="L20" s="6">
        <v>0.01</v>
      </c>
      <c r="M20" s="4">
        <v>0.4</v>
      </c>
      <c r="N20" s="23">
        <f>$D$26*L20</f>
        <v>0.5</v>
      </c>
      <c r="O20" s="23">
        <f>ROUNDDOWN($D$26*L20,0)</f>
        <v>0</v>
      </c>
      <c r="P20" s="2">
        <f>ROUNDUP($D$26*M20,0)</f>
        <v>20</v>
      </c>
      <c r="Q20" s="2">
        <f>$D$26*M20</f>
        <v>20</v>
      </c>
      <c r="R20" s="4"/>
    </row>
    <row r="21" spans="2:18" ht="28.8" x14ac:dyDescent="0.3">
      <c r="B21" s="8" t="s">
        <v>44</v>
      </c>
      <c r="C21" s="31">
        <v>38</v>
      </c>
      <c r="D21" s="34">
        <f>C22-C21</f>
        <v>17</v>
      </c>
      <c r="E21" s="35"/>
      <c r="F21" s="21" t="str">
        <f>IF(AND(D21&gt;=O21,D21&lt;=P21),$J$19,$J$20)</f>
        <v>DA</v>
      </c>
      <c r="G21" s="27" t="s">
        <v>31</v>
      </c>
      <c r="H21" s="26" t="str">
        <f>O21&amp;" - "&amp;P21&amp;" pag."</f>
        <v>10 - 20 pag.</v>
      </c>
      <c r="L21" s="4">
        <v>0.2</v>
      </c>
      <c r="M21" s="4">
        <v>0.4</v>
      </c>
      <c r="N21" s="23">
        <f>$D$26*L21</f>
        <v>10</v>
      </c>
      <c r="O21" s="23">
        <f>ROUNDDOWN($D$26*L21,0)</f>
        <v>10</v>
      </c>
      <c r="P21" s="2">
        <f>ROUNDUP($D$26*M21,0)</f>
        <v>20</v>
      </c>
      <c r="Q21" s="2">
        <f>$D$26*M21</f>
        <v>20</v>
      </c>
      <c r="R21" s="4"/>
    </row>
    <row r="22" spans="2:18" ht="21" customHeight="1" x14ac:dyDescent="0.3">
      <c r="B22" s="8" t="s">
        <v>1</v>
      </c>
      <c r="C22" s="31">
        <v>55</v>
      </c>
      <c r="D22" s="34">
        <f>C23-C22</f>
        <v>10</v>
      </c>
      <c r="E22" s="35"/>
      <c r="F22" s="21" t="str">
        <f>IF(AND(D22&gt;=O22,D22&lt;=P22),$J$19,$J$20)</f>
        <v>DA</v>
      </c>
      <c r="G22" s="14" t="s">
        <v>20</v>
      </c>
      <c r="H22" s="26" t="str">
        <f>"min "&amp;O22&amp;" pag."</f>
        <v>min 5 pag.</v>
      </c>
      <c r="L22" s="4">
        <v>0.1</v>
      </c>
      <c r="M22" s="6">
        <v>1</v>
      </c>
      <c r="N22" s="23">
        <f>$D$26*L22</f>
        <v>5</v>
      </c>
      <c r="O22" s="23">
        <f>ROUNDDOWN($D$26*L22,0)</f>
        <v>5</v>
      </c>
      <c r="P22" s="2">
        <f>ROUNDUP($D$26*M22,0)</f>
        <v>50</v>
      </c>
      <c r="Q22" s="2">
        <f>$D$26*M22</f>
        <v>50</v>
      </c>
      <c r="R22" s="6"/>
    </row>
    <row r="23" spans="2:18" x14ac:dyDescent="0.3">
      <c r="B23" s="8" t="s">
        <v>2</v>
      </c>
      <c r="C23" s="31">
        <v>65</v>
      </c>
      <c r="D23" s="34"/>
      <c r="E23" s="35"/>
      <c r="F23" s="10" t="str">
        <f>IF(C23&gt;0,J$19,J$20)</f>
        <v>DA</v>
      </c>
      <c r="G23" s="25"/>
    </row>
    <row r="24" spans="2:18" x14ac:dyDescent="0.3">
      <c r="B24" s="8" t="s">
        <v>3</v>
      </c>
      <c r="C24" s="31">
        <v>66</v>
      </c>
      <c r="D24" s="34"/>
      <c r="E24" s="35"/>
      <c r="F24" s="10" t="str">
        <f>IF(C24&gt;0,J$19,J$20)</f>
        <v>DA</v>
      </c>
      <c r="G24" s="25"/>
    </row>
    <row r="25" spans="2:18" ht="9.75" customHeight="1" x14ac:dyDescent="0.3">
      <c r="B25" s="1"/>
      <c r="C25" s="9"/>
      <c r="D25" s="9"/>
      <c r="E25" s="9"/>
      <c r="F25" s="24"/>
      <c r="G25" s="25"/>
    </row>
    <row r="26" spans="2:18" ht="17.25" customHeight="1" x14ac:dyDescent="0.3">
      <c r="B26" s="36" t="s">
        <v>45</v>
      </c>
      <c r="C26" s="37"/>
      <c r="D26" s="47">
        <f>SUM(D19:D23)</f>
        <v>50</v>
      </c>
      <c r="E26" s="48"/>
      <c r="F26" s="10" t="str">
        <f>IF(D26&gt;=M26,$J$19,$J$20)</f>
        <v>DA</v>
      </c>
      <c r="G26" s="51" t="s">
        <v>29</v>
      </c>
      <c r="H26" s="51"/>
      <c r="L26" s="2">
        <v>1</v>
      </c>
      <c r="M26" s="2">
        <v>50</v>
      </c>
      <c r="N26" s="2"/>
      <c r="O26" s="2"/>
      <c r="Q26" s="2"/>
      <c r="R26" s="12"/>
    </row>
    <row r="27" spans="2:18" ht="9.75" customHeight="1" x14ac:dyDescent="0.3">
      <c r="B27" s="1"/>
    </row>
    <row r="28" spans="2:18" x14ac:dyDescent="0.3">
      <c r="B28" s="42" t="s">
        <v>58</v>
      </c>
      <c r="C28" s="43"/>
      <c r="D28" s="43"/>
      <c r="E28" s="44"/>
      <c r="F28" s="7" t="s">
        <v>4</v>
      </c>
      <c r="G28" s="7" t="s">
        <v>46</v>
      </c>
      <c r="H28" s="7" t="s">
        <v>5</v>
      </c>
      <c r="J28" s="2"/>
      <c r="K28" s="2"/>
    </row>
    <row r="29" spans="2:18" ht="42.75" customHeight="1" x14ac:dyDescent="0.3">
      <c r="B29" s="41" t="s">
        <v>47</v>
      </c>
      <c r="C29" s="41"/>
      <c r="D29" s="41"/>
      <c r="E29" s="41"/>
      <c r="F29" s="16"/>
      <c r="G29" s="16"/>
      <c r="H29" s="16"/>
      <c r="J29" s="6"/>
      <c r="K29" s="5"/>
    </row>
    <row r="30" spans="2:18" ht="60" customHeight="1" x14ac:dyDescent="0.3">
      <c r="B30" s="41" t="s">
        <v>48</v>
      </c>
      <c r="C30" s="41"/>
      <c r="D30" s="41"/>
      <c r="E30" s="41"/>
      <c r="F30" s="16"/>
      <c r="G30" s="16"/>
      <c r="H30" s="16"/>
      <c r="J30" s="6"/>
      <c r="K30" s="4"/>
    </row>
    <row r="31" spans="2:18" ht="28.5" customHeight="1" x14ac:dyDescent="0.3">
      <c r="B31" s="41" t="s">
        <v>49</v>
      </c>
      <c r="C31" s="41"/>
      <c r="D31" s="41"/>
      <c r="E31" s="41"/>
      <c r="F31" s="16"/>
      <c r="G31" s="16"/>
      <c r="H31" s="16"/>
      <c r="J31" s="4"/>
      <c r="K31" s="4"/>
    </row>
    <row r="32" spans="2:18" ht="31.5" customHeight="1" x14ac:dyDescent="0.3">
      <c r="B32" s="41" t="s">
        <v>50</v>
      </c>
      <c r="C32" s="41"/>
      <c r="D32" s="41"/>
      <c r="E32" s="41"/>
      <c r="F32" s="16"/>
      <c r="G32" s="16"/>
      <c r="H32" s="16"/>
      <c r="J32" s="4"/>
      <c r="K32" s="6"/>
    </row>
    <row r="33" spans="2:8" ht="30" customHeight="1" x14ac:dyDescent="0.3">
      <c r="B33" s="41" t="s">
        <v>51</v>
      </c>
      <c r="C33" s="41"/>
      <c r="D33" s="41"/>
      <c r="E33" s="41"/>
      <c r="F33" s="16"/>
      <c r="G33" s="16"/>
      <c r="H33" s="16"/>
    </row>
    <row r="34" spans="2:8" ht="15.75" customHeight="1" x14ac:dyDescent="0.3">
      <c r="B34" s="32"/>
      <c r="C34" s="32"/>
      <c r="D34" s="32"/>
      <c r="E34" s="32"/>
    </row>
    <row r="35" spans="2:8" ht="16.5" customHeight="1" x14ac:dyDescent="0.3">
      <c r="B35" s="33" t="s">
        <v>59</v>
      </c>
      <c r="C35" s="33"/>
      <c r="D35" s="33"/>
      <c r="E35" s="33"/>
      <c r="F35" s="33"/>
      <c r="G35" s="33"/>
      <c r="H35" s="33"/>
    </row>
    <row r="36" spans="2:8" ht="19.5" customHeight="1" x14ac:dyDescent="0.3"/>
    <row r="37" spans="2:8" x14ac:dyDescent="0.3">
      <c r="B37" t="s">
        <v>52</v>
      </c>
    </row>
    <row r="39" spans="2:8" ht="14.25" customHeight="1" x14ac:dyDescent="0.3">
      <c r="B39" t="s">
        <v>53</v>
      </c>
    </row>
    <row r="40" spans="2:8" ht="17.25" customHeight="1" x14ac:dyDescent="0.3">
      <c r="B40" t="s">
        <v>54</v>
      </c>
      <c r="F40" t="s">
        <v>13</v>
      </c>
    </row>
    <row r="42" spans="2:8" x14ac:dyDescent="0.3">
      <c r="B42" t="str">
        <f>C11</f>
        <v>Gabor CSIPKES</v>
      </c>
      <c r="F42" t="str">
        <f>C6</f>
        <v>Rafael Marian VANCA</v>
      </c>
    </row>
  </sheetData>
  <sheetProtection algorithmName="SHA-512" hashValue="dT28CPr1g51tE9DtmmnPaGPVnK2cEVJubkJU/i0WNOUzVx3eTwjawwcCvJanZ1TkDzkGug/tru1T7iZV2OgwiQ==" saltValue="ZMx23n8ViDrzwz5kIpiMQA==" spinCount="100000" sheet="1" objects="1" scenarios="1"/>
  <mergeCells count="24">
    <mergeCell ref="B4:H4"/>
    <mergeCell ref="B29:E29"/>
    <mergeCell ref="B30:E30"/>
    <mergeCell ref="B33:E33"/>
    <mergeCell ref="B28:E28"/>
    <mergeCell ref="C11:E11"/>
    <mergeCell ref="C6:E6"/>
    <mergeCell ref="C9:H10"/>
    <mergeCell ref="B32:E32"/>
    <mergeCell ref="D24:E24"/>
    <mergeCell ref="D26:E26"/>
    <mergeCell ref="G18:H18"/>
    <mergeCell ref="G26:H26"/>
    <mergeCell ref="B31:E31"/>
    <mergeCell ref="B13:C13"/>
    <mergeCell ref="B15:B16"/>
    <mergeCell ref="B35:H35"/>
    <mergeCell ref="D23:E23"/>
    <mergeCell ref="B26:C26"/>
    <mergeCell ref="D18:E18"/>
    <mergeCell ref="D19:E19"/>
    <mergeCell ref="D20:E20"/>
    <mergeCell ref="D21:E21"/>
    <mergeCell ref="D22:E22"/>
  </mergeCells>
  <dataValidations count="2">
    <dataValidation type="list" allowBlank="1" showInputMessage="1" showErrorMessage="1" sqref="C8" xr:uid="{00000000-0002-0000-0000-000000000000}">
      <formula1>$M$6:$M$13</formula1>
    </dataValidation>
    <dataValidation type="list" allowBlank="1" showInputMessage="1" showErrorMessage="1" sqref="D13:D14 C16" xr:uid="{00000000-0002-0000-0000-000001000000}">
      <formula1>limba</formula1>
    </dataValidation>
  </dataValidations>
  <pageMargins left="0.98425196850393704" right="0.59055118110236227" top="0.47244094488188981" bottom="0.55118110236220474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Fise verificare</vt:lpstr>
      <vt:lpstr>limba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Vanca, Rafael-Marian</dc:creator>
  <cp:lastModifiedBy>Vanca, Rafael-Marian</cp:lastModifiedBy>
  <cp:lastPrinted>2014-03-21T11:30:16Z</cp:lastPrinted>
  <dcterms:created xsi:type="dcterms:W3CDTF">2012-11-13T11:14:24Z</dcterms:created>
  <dcterms:modified xsi:type="dcterms:W3CDTF">2025-07-07T10:05:17Z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2024-04-04T07:27:04Z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9dedb0fe-bbab-490e-8d4c-654cce40dc93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3f3ac890-09a1-47d3-8d04-15427d7fec91_Enabled">
    <vt:lpwstr>true</vt:lpwstr>
  </property>
  <property fmtid="{D5CDD505-2E9C-101B-9397-08002B2CF9AE}" pid="10" name="MSIP_Label_3f3ac890-09a1-47d3-8d04-15427d7fec91_SetDate">
    <vt:lpwstr>2025-06-16T12:04:04Z</vt:lpwstr>
  </property>
  <property fmtid="{D5CDD505-2E9C-101B-9397-08002B2CF9AE}" pid="11" name="MSIP_Label_3f3ac890-09a1-47d3-8d04-15427d7fec91_Method">
    <vt:lpwstr>Standard</vt:lpwstr>
  </property>
  <property fmtid="{D5CDD505-2E9C-101B-9397-08002B2CF9AE}" pid="12" name="MSIP_Label_3f3ac890-09a1-47d3-8d04-15427d7fec91_Name">
    <vt:lpwstr>Internal</vt:lpwstr>
  </property>
  <property fmtid="{D5CDD505-2E9C-101B-9397-08002B2CF9AE}" pid="13" name="MSIP_Label_3f3ac890-09a1-47d3-8d04-15427d7fec91_SiteId">
    <vt:lpwstr>39b77101-99b7-41c9-8d6a-7794b9d48476</vt:lpwstr>
  </property>
  <property fmtid="{D5CDD505-2E9C-101B-9397-08002B2CF9AE}" pid="14" name="MSIP_Label_3f3ac890-09a1-47d3-8d04-15427d7fec91_ActionId">
    <vt:lpwstr>4e816eba-e1e1-48dd-a767-b6a57d81e4b0</vt:lpwstr>
  </property>
  <property fmtid="{D5CDD505-2E9C-101B-9397-08002B2CF9AE}" pid="15" name="MSIP_Label_3f3ac890-09a1-47d3-8d04-15427d7fec91_ContentBits">
    <vt:lpwstr>0</vt:lpwstr>
  </property>
  <property fmtid="{D5CDD505-2E9C-101B-9397-08002B2CF9AE}" pid="16" name="MSIP_Label_3f3ac890-09a1-47d3-8d04-15427d7fec91_Tag">
    <vt:lpwstr>10, 3, 0, 1</vt:lpwstr>
  </property>
</Properties>
</file>